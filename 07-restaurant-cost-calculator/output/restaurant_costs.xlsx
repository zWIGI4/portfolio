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Profitability" sheetId="3" state="visible" r:id="rId3"/>
  </sheets>
  <definedNames>
    <definedName name="CZYNSZ">'Assumptions'!$C$8</definedName>
    <definedName name="MEDIA">'Assumptions'!$C$9</definedName>
    <definedName name="SOFT">'Assumptions'!$C$10</definedName>
    <definedName name="SERWIS">'Assumptions'!$C$11</definedName>
    <definedName name="MARKETING">'Assumptions'!$C$12</definedName>
    <definedName name="KSIEGOWOSC">'Assumptions'!$C$13</definedName>
    <definedName name="KUCH_N">'Assumptions'!$C$16</definedName>
    <definedName name="KUCH_K">'Assumptions'!$C$17</definedName>
    <definedName name="KEL_N">'Assumptions'!$C$18</definedName>
    <definedName name="KEL_K">'Assumptions'!$C$19</definedName>
    <definedName name="POM_N">'Assumptions'!$C$20</definedName>
    <definedName name="POM_K">'Assumptions'!$C$21</definedName>
    <definedName name="MGR_K">'Assumptions'!$C$22</definedName>
    <definedName name="PARAGON">'Assumptions'!$C$25</definedName>
    <definedName name="FOODCOST">'Assumptions'!$C$26</definedName>
    <definedName name="GOSCIE">'Assumptions'!$C$27</definedName>
    <definedName name="DNI">'Assumptions'!$C$28</definedName>
    <definedName name="STALE">'Costs'!$C$15</definedName>
    <definedName name="ZMIENNE">'Costs'!$C$19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zł&quot;"/>
  </numFmts>
  <fonts count="14">
    <font>
      <name val="Calibri"/>
      <family val="2"/>
      <color theme="1"/>
      <sz val="11"/>
      <scheme val="minor"/>
    </font>
    <font>
      <name val="Calibri"/>
      <b val="1"/>
      <color rgb="000B0B0B"/>
      <sz val="16"/>
    </font>
    <font>
      <name val="Calibri"/>
      <color rgb="00898781"/>
      <sz val="10"/>
    </font>
    <font>
      <name val="Calibri"/>
      <b val="1"/>
      <color rgb="001C5CAB"/>
      <sz val="11"/>
    </font>
    <font>
      <name val="Calibri"/>
      <color rgb="0052514E"/>
      <sz val="11"/>
    </font>
    <font>
      <name val="Calibri"/>
      <b val="1"/>
      <color rgb="000B0B0B"/>
      <sz val="11"/>
    </font>
    <font>
      <name val="Calibri"/>
      <sz val="11"/>
    </font>
    <font>
      <name val="Calibri"/>
      <b val="1"/>
      <sz val="11"/>
    </font>
    <font>
      <name val="Calibri"/>
      <b val="1"/>
      <color rgb="001C5CAB"/>
      <sz val="13"/>
    </font>
    <font>
      <name val="Calibri"/>
      <b val="1"/>
      <color rgb="001C5CAB"/>
      <sz val="12"/>
    </font>
    <font>
      <name val="Calibri"/>
      <b val="1"/>
      <color rgb="000CA30C"/>
      <sz val="13"/>
    </font>
    <font>
      <name val="Calibri"/>
      <b val="1"/>
      <color rgb="000B0B0B"/>
      <sz val="12"/>
    </font>
    <font>
      <name val="Calibri"/>
      <b val="1"/>
      <color rgb="00898781"/>
      <sz val="10"/>
    </font>
    <font>
      <name val="Calibri"/>
      <color rgb="0052514E"/>
      <sz val="10"/>
    </font>
  </fonts>
  <fills count="6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  <fill>
      <patternFill patternType="solid">
        <fgColor rgb="00FFF2CC"/>
      </patternFill>
    </fill>
    <fill>
      <patternFill patternType="solid">
        <fgColor rgb="00E7F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3" fontId="5" fillId="4" borderId="1" pivotButton="0" quotePrefix="0" xfId="0"/>
    <xf numFmtId="9" fontId="5" fillId="4" borderId="1" pivotButton="0" quotePrefix="0" xfId="0"/>
    <xf numFmtId="164" fontId="6" fillId="0" borderId="0" pivotButton="0" quotePrefix="0" xfId="0"/>
    <xf numFmtId="0" fontId="5" fillId="0" borderId="0" pivotButton="0" quotePrefix="0" xfId="0"/>
    <xf numFmtId="164" fontId="7" fillId="0" borderId="0" pivotButton="0" quotePrefix="0" xfId="0"/>
    <xf numFmtId="0" fontId="9" fillId="3" borderId="1" pivotButton="0" quotePrefix="0" xfId="0"/>
    <xf numFmtId="164" fontId="8" fillId="3" borderId="1" pivotButton="0" quotePrefix="0" xfId="0"/>
    <xf numFmtId="3" fontId="6" fillId="0" borderId="0" pivotButton="0" quotePrefix="0" xfId="0"/>
    <xf numFmtId="0" fontId="11" fillId="5" borderId="1" pivotButton="0" quotePrefix="0" xfId="0"/>
    <xf numFmtId="3" fontId="10" fillId="5" borderId="1" pivotButton="0" quotePrefix="0" xfId="0"/>
    <xf numFmtId="0" fontId="11" fillId="3" borderId="1" pivotButton="0" quotePrefix="0" xfId="0"/>
    <xf numFmtId="3" fontId="8" fillId="3" borderId="1" pivotButton="0" quotePrefix="0" xfId="0"/>
    <xf numFmtId="0" fontId="12" fillId="0" borderId="0" pivotButton="0" quotePrefix="0" xfId="0"/>
    <xf numFmtId="0" fontId="13" fillId="0" borderId="0" pivotButton="0" quotePrefix="0" xfId="0"/>
    <xf numFmtId="3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result vs guests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'Profitability'!C14</f>
            </strRef>
          </tx>
          <spPr>
            <a:ln xmlns:a="http://schemas.openxmlformats.org/drawingml/2006/main" w="317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'Profitability'!$B$15:$B$27</f>
            </numRef>
          </cat>
          <val>
            <numRef>
              <f>'Profitability'!$C$15:$C$27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B2" t="inlineStr"/>
    </row>
    <row r="3">
      <c r="B3" s="2" t="inlineStr">
        <is>
          <t>Restaurant cost calculator</t>
        </is>
      </c>
    </row>
    <row r="4">
      <c r="B4" s="3" t="inlineStr">
        <is>
          <t>Edit the yellow cells — costs, result and break-even recalculate on their own · sample numbers</t>
        </is>
      </c>
    </row>
    <row r="7">
      <c r="B7" s="4" t="inlineStr">
        <is>
          <t>Premises &amp; utilities (monthly)</t>
        </is>
      </c>
      <c r="C7" s="5" t="n"/>
    </row>
    <row r="8">
      <c r="B8" s="6" t="inlineStr">
        <is>
          <t>Rent</t>
        </is>
      </c>
      <c r="C8" s="7" t="n">
        <v>9500</v>
      </c>
    </row>
    <row r="9">
      <c r="B9" s="6" t="inlineStr">
        <is>
          <t>Utilities (electricity, gas, water)</t>
        </is>
      </c>
      <c r="C9" s="7" t="n">
        <v>2800</v>
      </c>
    </row>
    <row r="10">
      <c r="B10" s="6" t="inlineStr">
        <is>
          <t>Internet, POS, software</t>
        </is>
      </c>
      <c r="C10" s="7" t="n">
        <v>450</v>
      </c>
    </row>
    <row r="11">
      <c r="B11" s="6" t="inlineStr">
        <is>
          <t>Waste, servicing, small repairs</t>
        </is>
      </c>
      <c r="C11" s="7" t="n">
        <v>900</v>
      </c>
    </row>
    <row r="12">
      <c r="B12" s="6" t="inlineStr">
        <is>
          <t>Marketing</t>
        </is>
      </c>
      <c r="C12" s="7" t="n">
        <v>1200</v>
      </c>
    </row>
    <row r="13">
      <c r="B13" s="6" t="inlineStr">
        <is>
          <t>Accounting &amp; insurance</t>
        </is>
      </c>
      <c r="C13" s="7" t="n">
        <v>850</v>
      </c>
    </row>
    <row r="15">
      <c r="B15" s="4" t="inlineStr">
        <is>
          <t>Team (monthly, gross with overheads)</t>
        </is>
      </c>
      <c r="C15" s="5" t="n"/>
    </row>
    <row r="16">
      <c r="B16" s="6" t="inlineStr">
        <is>
          <t>Cooks: headcount</t>
        </is>
      </c>
      <c r="C16" s="7" t="n">
        <v>3</v>
      </c>
    </row>
    <row r="17">
      <c r="B17" s="6" t="inlineStr">
        <is>
          <t>Cooks: cost per person</t>
        </is>
      </c>
      <c r="C17" s="7" t="n">
        <v>8200</v>
      </c>
    </row>
    <row r="18">
      <c r="B18" s="6" t="inlineStr">
        <is>
          <t>Waiters: headcount</t>
        </is>
      </c>
      <c r="C18" s="7" t="n">
        <v>4</v>
      </c>
    </row>
    <row r="19">
      <c r="B19" s="6" t="inlineStr">
        <is>
          <t>Waiters: cost per person</t>
        </is>
      </c>
      <c r="C19" s="7" t="n">
        <v>6100</v>
      </c>
    </row>
    <row r="20">
      <c r="B20" s="6" t="inlineStr">
        <is>
          <t>Kitchen help: headcount</t>
        </is>
      </c>
      <c r="C20" s="7" t="n">
        <v>2</v>
      </c>
    </row>
    <row r="21">
      <c r="B21" s="6" t="inlineStr">
        <is>
          <t>Kitchen help: cost per person</t>
        </is>
      </c>
      <c r="C21" s="7" t="n">
        <v>5300</v>
      </c>
    </row>
    <row r="22">
      <c r="B22" s="6" t="inlineStr">
        <is>
          <t>Manager: cost</t>
        </is>
      </c>
      <c r="C22" s="7" t="n">
        <v>9000</v>
      </c>
    </row>
    <row r="24">
      <c r="B24" s="4" t="inlineStr">
        <is>
          <t>Sales</t>
        </is>
      </c>
      <c r="C24" s="5" t="n"/>
    </row>
    <row r="25">
      <c r="B25" s="6" t="inlineStr">
        <is>
          <t>Average bill per guest</t>
        </is>
      </c>
      <c r="C25" s="7" t="n">
        <v>68</v>
      </c>
    </row>
    <row r="26">
      <c r="B26" s="6" t="inlineStr">
        <is>
          <t>Food cost (% of the bill)</t>
        </is>
      </c>
      <c r="C26" s="8" t="n">
        <v>0.32</v>
      </c>
    </row>
    <row r="27">
      <c r="B27" s="6" t="inlineStr">
        <is>
          <t>Guests per day (current)</t>
        </is>
      </c>
      <c r="C27" s="7" t="n">
        <v>85</v>
      </c>
    </row>
    <row r="28">
      <c r="B28" s="6" t="inlineStr">
        <is>
          <t>Opening days per month</t>
        </is>
      </c>
      <c r="C28" s="7" t="n">
        <v>26</v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B2" t="inlineStr"/>
    </row>
    <row r="3">
      <c r="B3" s="2" t="inlineStr">
        <is>
          <t>Monthly costs</t>
        </is>
      </c>
    </row>
    <row r="4">
      <c r="B4" s="3" t="inlineStr">
        <is>
          <t>Everything computed by formulas from the Assumptions sheet</t>
        </is>
      </c>
    </row>
    <row r="7">
      <c r="B7" s="4" t="inlineStr">
        <is>
          <t>Fixed costs</t>
        </is>
      </c>
      <c r="C7" s="5" t="n"/>
    </row>
    <row r="8">
      <c r="B8" s="6" t="inlineStr">
        <is>
          <t>Rent</t>
        </is>
      </c>
      <c r="C8" s="9">
        <f>CZYNSZ</f>
        <v/>
      </c>
    </row>
    <row r="9">
      <c r="B9" s="6" t="inlineStr">
        <is>
          <t>Utilities</t>
        </is>
      </c>
      <c r="C9" s="9">
        <f>MEDIA</f>
        <v/>
      </c>
    </row>
    <row r="10">
      <c r="B10" s="6" t="inlineStr">
        <is>
          <t>Internet &amp; software</t>
        </is>
      </c>
      <c r="C10" s="9">
        <f>SOFT</f>
        <v/>
      </c>
    </row>
    <row r="11">
      <c r="B11" s="6" t="inlineStr">
        <is>
          <t>Servicing &amp; repairs</t>
        </is>
      </c>
      <c r="C11" s="9">
        <f>SERWIS</f>
        <v/>
      </c>
    </row>
    <row r="12">
      <c r="B12" s="6" t="inlineStr">
        <is>
          <t>Marketing</t>
        </is>
      </c>
      <c r="C12" s="9">
        <f>MARKETING</f>
        <v/>
      </c>
    </row>
    <row r="13">
      <c r="B13" s="6" t="inlineStr">
        <is>
          <t>Accounting &amp; insurance</t>
        </is>
      </c>
      <c r="C13" s="9">
        <f>KSIEGOWOSC</f>
        <v/>
      </c>
    </row>
    <row r="14">
      <c r="B14" s="6" t="inlineStr">
        <is>
          <t>Team</t>
        </is>
      </c>
      <c r="C14" s="9">
        <f>KUCH_N*KUCH_K+KEL_N*KEL_K+POM_N*POM_K+MGR_K</f>
        <v/>
      </c>
    </row>
    <row r="15">
      <c r="B15" s="10" t="inlineStr">
        <is>
          <t>Total fixed costs</t>
        </is>
      </c>
      <c r="C15" s="11">
        <f>SUM(C8:C14)</f>
        <v/>
      </c>
    </row>
    <row r="17">
      <c r="B17" s="4" t="inlineStr">
        <is>
          <t>Variable costs</t>
        </is>
      </c>
      <c r="C17" s="5" t="n"/>
    </row>
    <row r="18">
      <c r="B18" s="6" t="inlineStr">
        <is>
          <t>Ingredients (food cost)</t>
        </is>
      </c>
      <c r="C18" s="9">
        <f>GOSCIE*DNI*PARAGON*FOODCOST</f>
        <v/>
      </c>
    </row>
    <row r="19">
      <c r="B19" s="10" t="inlineStr">
        <is>
          <t>Total variable costs</t>
        </is>
      </c>
      <c r="C19" s="11">
        <f>C18</f>
        <v/>
      </c>
    </row>
    <row r="20">
      <c r="B20" s="12" t="inlineStr">
        <is>
          <t>Total costs</t>
        </is>
      </c>
      <c r="C20" s="13">
        <f>STALE+ZMIENNE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6" customWidth="1" min="2" max="2"/>
    <col width="14" customWidth="1" min="3" max="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B2" t="inlineStr"/>
    </row>
    <row r="3">
      <c r="B3" s="2" t="inlineStr">
        <is>
          <t>Profitability and break-even</t>
        </is>
      </c>
    </row>
    <row r="4">
      <c r="B4" s="3" t="inlineStr">
        <is>
          <t>Result, margin and the point where the venue breaks even</t>
        </is>
      </c>
    </row>
    <row r="6">
      <c r="B6" s="6" t="inlineStr">
        <is>
          <t>Monthly revenue</t>
        </is>
      </c>
      <c r="C6" s="14">
        <f>GOSCIE*DNI*PARAGON</f>
        <v/>
      </c>
    </row>
    <row r="7">
      <c r="B7" s="6" t="inlineStr">
        <is>
          <t>Total costs</t>
        </is>
      </c>
      <c r="C7" s="14">
        <f>STALE+ZMIENNE</f>
        <v/>
      </c>
    </row>
    <row r="8">
      <c r="B8" s="15" t="inlineStr">
        <is>
          <t>Result (profit / loss)</t>
        </is>
      </c>
      <c r="C8" s="16">
        <f>C6-C7</f>
        <v/>
      </c>
    </row>
    <row r="9">
      <c r="B9" s="6" t="inlineStr">
        <is>
          <t>Margin per bill (after food cost)</t>
        </is>
      </c>
      <c r="C9" s="14">
        <f>PARAGON*(1-FOODCOST)</f>
        <v/>
      </c>
    </row>
    <row r="10">
      <c r="B10" s="17" t="inlineStr">
        <is>
          <t>Break-even: guests per day</t>
        </is>
      </c>
      <c r="C10" s="18">
        <f>STALE/(PARAGON*(1-FOODCOST))/DNI</f>
        <v/>
      </c>
    </row>
    <row r="11">
      <c r="B11" s="6" t="inlineStr">
        <is>
          <t>Headroom vs break-even (guests/day)</t>
        </is>
      </c>
      <c r="C11" s="14">
        <f>GOSCIE-C10</f>
        <v/>
      </c>
    </row>
    <row r="14">
      <c r="B14" s="19" t="inlineStr">
        <is>
          <t>Guests/day</t>
        </is>
      </c>
      <c r="C14" s="19" t="inlineStr">
        <is>
          <t>Monthly result</t>
        </is>
      </c>
    </row>
    <row r="15">
      <c r="B15" s="20" t="n">
        <v>30</v>
      </c>
      <c r="C15" s="21">
        <f>B15*DNI*PARAGON*(1-FOODCOST)-STALE</f>
        <v/>
      </c>
    </row>
    <row r="16">
      <c r="B16" s="20" t="n">
        <v>40</v>
      </c>
      <c r="C16" s="21">
        <f>B16*DNI*PARAGON*(1-FOODCOST)-STALE</f>
        <v/>
      </c>
    </row>
    <row r="17">
      <c r="B17" s="20" t="n">
        <v>50</v>
      </c>
      <c r="C17" s="21">
        <f>B17*DNI*PARAGON*(1-FOODCOST)-STALE</f>
        <v/>
      </c>
    </row>
    <row r="18">
      <c r="B18" s="20" t="n">
        <v>60</v>
      </c>
      <c r="C18" s="21">
        <f>B18*DNI*PARAGON*(1-FOODCOST)-STALE</f>
        <v/>
      </c>
    </row>
    <row r="19">
      <c r="B19" s="20" t="n">
        <v>70</v>
      </c>
      <c r="C19" s="21">
        <f>B19*DNI*PARAGON*(1-FOODCOST)-STALE</f>
        <v/>
      </c>
    </row>
    <row r="20">
      <c r="B20" s="20" t="n">
        <v>80</v>
      </c>
      <c r="C20" s="21">
        <f>B20*DNI*PARAGON*(1-FOODCOST)-STALE</f>
        <v/>
      </c>
    </row>
    <row r="21">
      <c r="B21" s="20" t="n">
        <v>90</v>
      </c>
      <c r="C21" s="21">
        <f>B21*DNI*PARAGON*(1-FOODCOST)-STALE</f>
        <v/>
      </c>
    </row>
    <row r="22">
      <c r="B22" s="20" t="n">
        <v>100</v>
      </c>
      <c r="C22" s="21">
        <f>B22*DNI*PARAGON*(1-FOODCOST)-STALE</f>
        <v/>
      </c>
    </row>
    <row r="23">
      <c r="B23" s="20" t="n">
        <v>110</v>
      </c>
      <c r="C23" s="21">
        <f>B23*DNI*PARAGON*(1-FOODCOST)-STALE</f>
        <v/>
      </c>
    </row>
    <row r="24">
      <c r="B24" s="20" t="n">
        <v>120</v>
      </c>
      <c r="C24" s="21">
        <f>B24*DNI*PARAGON*(1-FOODCOST)-STALE</f>
        <v/>
      </c>
    </row>
    <row r="25">
      <c r="B25" s="20" t="n">
        <v>130</v>
      </c>
      <c r="C25" s="21">
        <f>B25*DNI*PARAGON*(1-FOODCOST)-STALE</f>
        <v/>
      </c>
    </row>
    <row r="26">
      <c r="B26" s="20" t="n">
        <v>140</v>
      </c>
      <c r="C26" s="21">
        <f>B26*DNI*PARAGON*(1-FOODCOST)-STALE</f>
        <v/>
      </c>
    </row>
    <row r="27">
      <c r="B27" s="20" t="n">
        <v>150</v>
      </c>
      <c r="C27" s="21">
        <f>B27*DNI*PARAGON*(1-FOODCOST)-STALE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2026-07-26T18:30:04Z</dcterms:created>
  <dcterms:modified xmlns:dcterms="http://purl.org/dc/terms/" xmlns:xsi="http://www.w3.org/2001/XMLSchema-instance" xsi:type="dcterms:W3CDTF">2026-07-26T18:30:04Z</dcterms:modified>
</cp:coreProperties>
</file>