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Term comparison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ustomer quote" sheetId="5" state="visible" r:id="rId5"/>
  </sheets>
  <definedNames>
    <definedName name="CAT_SKU">'Catalogue'!$B$7:$B$24</definedName>
    <definedName name="CAT_PRODUCT">'Catalogue'!$C$7:$C$24</definedName>
    <definedName name="CAT_CATEGORY">'Catalogue'!$D$7:$D$24</definedName>
    <definedName name="CAT_BILLING">'Catalogue'!$E$7:$E$24</definedName>
    <definedName name="CAT_PRICE">'Catalogue'!$F$7:$F$24</definedName>
    <definedName name="CAT_COST">'Catalogue'!$G$7:$G$24</definedName>
    <definedName name="TERM">'Quote'!$C$9</definedName>
    <definedName name="VAT_RATE">'Quote'!$C$10</definedName>
    <definedName name="TOTAL_ONEOFF">'Quote'!$J$24</definedName>
    <definedName name="TOTAL_MONTHLY">'Quote'!$K$24</definedName>
    <definedName name="TOTAL_COST">'Quote'!$L$24</definedName>
    <definedName name="UPFRONT_NET">'Quote'!$D$26</definedName>
    <definedName name="MONTHLY_NET">'Quote'!$D$27</definedName>
    <definedName name="CONTRACT_NET">'Quote'!$D$28</definedName>
    <definedName name="CONTRACT_VAT">'Quote'!$D$29</definedName>
    <definedName name="CONTRACT_GROSS">'Quote'!$D$30</definedName>
    <definedName name="MARGIN_VALUE">'Quote'!$D$32</definedName>
    <definedName name="MARGIN_PCT">'Quote'!$D$33</definedName>
    <definedName name="_xlnm.Print_Area" localSheetId="4">'Customer quote'!$A$1:$G$37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&quot; zł&quot;"/>
    <numFmt numFmtId="165" formatCode="yyyy-mm-dd"/>
    <numFmt numFmtId="166" formatCode="dd.mm.yyyy"/>
    <numFmt numFmtId="167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0B0B0B"/>
      <sz val="16"/>
    </font>
    <font>
      <name val="Calibri"/>
      <color rgb="00898781"/>
      <sz val="10"/>
    </font>
    <font>
      <name val="Calibri"/>
      <b val="1"/>
      <color rgb="00FFFFFF"/>
      <sz val="10"/>
    </font>
    <font>
      <name val="Calibri"/>
      <color rgb="0052514E"/>
      <sz val="10"/>
    </font>
    <font>
      <name val="Calibri"/>
      <color rgb="000B0B0B"/>
      <sz val="10"/>
    </font>
    <font>
      <name val="Calibri"/>
      <b val="1"/>
      <color rgb="001C5CAB"/>
      <sz val="11"/>
    </font>
    <font>
      <name val="Calibri"/>
      <color rgb="0052514E"/>
      <sz val="11"/>
    </font>
    <font>
      <name val="Calibri"/>
      <b val="1"/>
      <color rgb="000B0B0B"/>
      <sz val="11"/>
    </font>
    <font>
      <name val="Calibri"/>
      <b val="1"/>
      <color rgb="001C5CAB"/>
      <sz val="13"/>
    </font>
    <font>
      <name val="Calibri"/>
      <b val="1"/>
      <color rgb="000CA30C"/>
      <sz val="13"/>
    </font>
    <font>
      <name val="Calibri"/>
      <b val="1"/>
      <color rgb="001C5CAB"/>
      <sz val="10"/>
    </font>
    <font>
      <name val="Calibri"/>
      <b val="1"/>
      <color rgb="00898781"/>
      <sz val="9"/>
    </font>
    <font>
      <name val="Calibri"/>
      <b val="1"/>
      <color rgb="001C5CAB"/>
      <sz val="15"/>
    </font>
    <font>
      <name val="Calibri"/>
      <b val="1"/>
      <color rgb="00898781"/>
      <sz val="10"/>
    </font>
    <font>
      <name val="Calibri"/>
      <b val="1"/>
      <color rgb="000B0B0B"/>
      <sz val="12"/>
    </font>
    <font>
      <name val="Calibri"/>
      <b val="1"/>
      <color rgb="0052514E"/>
      <sz val="11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1C5CAB"/>
      </patternFill>
    </fill>
    <fill>
      <patternFill patternType="solid">
        <fgColor rgb="00FFF2CC"/>
      </patternFill>
    </fill>
    <fill>
      <patternFill patternType="solid">
        <fgColor rgb="00EEF4FC"/>
      </patternFill>
    </fill>
    <fill>
      <patternFill patternType="solid">
        <fgColor rgb="00E7F6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0" fontId="8" fillId="4" borderId="1" applyProtection="1" pivotButton="0" quotePrefix="0" xfId="0">
      <protection locked="0" hidden="0"/>
    </xf>
    <xf numFmtId="0" fontId="8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1" fontId="8" fillId="4" borderId="1" applyProtection="1" pivotButton="0" quotePrefix="0" xfId="0">
      <protection locked="0" hidden="0"/>
    </xf>
    <xf numFmtId="9" fontId="8" fillId="4" borderId="1" applyProtection="1" pivotButton="0" quotePrefix="0" xfId="0">
      <protection locked="0" hidden="0"/>
    </xf>
    <xf numFmtId="0" fontId="5" fillId="4" borderId="1" applyProtection="1" pivotButton="0" quotePrefix="0" xfId="0">
      <protection locked="0" hidden="0"/>
    </xf>
    <xf numFmtId="1" fontId="5" fillId="4" borderId="1" applyProtection="1" pivotButton="0" quotePrefix="0" xfId="0">
      <protection locked="0" hidden="0"/>
    </xf>
    <xf numFmtId="9" fontId="5" fillId="4" borderId="1" applyProtection="1" pivotButton="0" quotePrefix="0" xfId="0">
      <protection locked="0" hidden="0"/>
    </xf>
    <xf numFmtId="167" fontId="4" fillId="0" borderId="1" pivotButton="0" quotePrefix="0" xfId="0"/>
    <xf numFmtId="0" fontId="8" fillId="5" borderId="1" pivotButton="0" quotePrefix="0" xfId="0"/>
    <xf numFmtId="0" fontId="0" fillId="5" borderId="1" pivotButton="0" quotePrefix="0" xfId="0"/>
    <xf numFmtId="164" fontId="8" fillId="5" borderId="1" pivotButton="0" quotePrefix="0" xfId="0"/>
    <xf numFmtId="164" fontId="8" fillId="0" borderId="1" pivotButton="0" quotePrefix="0" xfId="0"/>
    <xf numFmtId="0" fontId="7" fillId="5" borderId="0" pivotButton="0" quotePrefix="0" xfId="0"/>
    <xf numFmtId="0" fontId="0" fillId="5" borderId="0" pivotButton="0" quotePrefix="0" xfId="0"/>
    <xf numFmtId="164" fontId="9" fillId="5" borderId="1" pivotButton="0" quotePrefix="0" xfId="0"/>
    <xf numFmtId="0" fontId="7" fillId="6" borderId="0" pivotButton="0" quotePrefix="0" xfId="0"/>
    <xf numFmtId="0" fontId="0" fillId="6" borderId="0" pivotButton="0" quotePrefix="0" xfId="0"/>
    <xf numFmtId="167" fontId="10" fillId="6" borderId="1" pivotButton="0" quotePrefix="0" xfId="0"/>
    <xf numFmtId="0" fontId="8" fillId="0" borderId="1" applyAlignment="1" pivotButton="0" quotePrefix="0" xfId="0">
      <alignment horizontal="center"/>
    </xf>
    <xf numFmtId="164" fontId="7" fillId="0" borderId="1" pivotButton="0" quotePrefix="0" xfId="0"/>
    <xf numFmtId="0" fontId="11" fillId="0" borderId="0" pivotButton="0" quotePrefix="0" xfId="0"/>
    <xf numFmtId="0" fontId="12" fillId="5" borderId="1" pivotButton="0" quotePrefix="0" xfId="0"/>
    <xf numFmtId="164" fontId="13" fillId="5" borderId="1" pivotButton="0" quotePrefix="0" xfId="0"/>
    <xf numFmtId="1" fontId="13" fillId="5" borderId="1" pivotButton="0" quotePrefix="0" xfId="0"/>
    <xf numFmtId="167" fontId="13" fillId="5" borderId="1" pivotButton="0" quotePrefix="0" xfId="0"/>
    <xf numFmtId="0" fontId="1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5" fillId="0" borderId="0" pivotButton="0" quotePrefix="0" xfId="0"/>
    <xf numFmtId="166" fontId="4" fillId="0" borderId="0" pivotButton="0" quotePrefix="0" xfId="0"/>
    <xf numFmtId="0" fontId="2" fillId="0" borderId="1" pivotButton="0" quotePrefix="0" xfId="0"/>
    <xf numFmtId="1" fontId="8" fillId="0" borderId="1" pivotButton="0" quotePrefix="0" xfId="0"/>
    <xf numFmtId="0" fontId="1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Contract value, net — by term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'Term comparison'!E6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'Term comparison'!$B$7:$B$10</f>
            </numRef>
          </cat>
          <val>
            <numRef>
              <f>'Term comparison'!$E$7:$E$10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/ cost / margin over the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'Summary'!$B$17:$B$19</f>
            </numRef>
          </cat>
          <val>
            <numRef>
              <f>'Summary'!$C$17:$C$19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15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16" customWidth="1" min="2" max="2"/>
    <col width="36" customWidth="1" min="3" max="3"/>
    <col width="14" customWidth="1" min="4" max="4"/>
    <col width="11" customWidth="1" min="5" max="5"/>
    <col width="13" customWidth="1" min="6" max="6"/>
    <col width="13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3">
      <c r="B3" s="2" t="inlineStr">
        <is>
          <t>Product catalogue</t>
        </is>
      </c>
    </row>
    <row r="4">
      <c r="B4" s="3" t="inlineStr">
        <is>
          <t>Feeds the dropdowns and every lookup on the Quote sheet</t>
        </is>
      </c>
    </row>
    <row r="6" ht="28" customHeight="1">
      <c r="B6" s="4" t="inlineStr">
        <is>
          <t>SKU</t>
        </is>
      </c>
      <c r="C6" s="4" t="inlineStr">
        <is>
          <t>Product</t>
        </is>
      </c>
      <c r="D6" s="4" t="inlineStr">
        <is>
          <t>Category</t>
        </is>
      </c>
      <c r="E6" s="4" t="inlineStr">
        <is>
          <t>Billing</t>
        </is>
      </c>
      <c r="F6" s="4" t="inlineStr">
        <is>
          <t>Unit price</t>
        </is>
      </c>
      <c r="G6" s="4" t="inlineStr">
        <is>
          <t>Unit cost</t>
        </is>
      </c>
    </row>
    <row r="7">
      <c r="B7" s="5" t="inlineStr">
        <is>
          <t>TEL-SMART-128</t>
        </is>
      </c>
      <c r="C7" s="6" t="inlineStr">
        <is>
          <t>Smartfon biznesowy 128 GB</t>
        </is>
      </c>
      <c r="D7" s="5" t="inlineStr">
        <is>
          <t>Hardware</t>
        </is>
      </c>
      <c r="E7" s="5" t="inlineStr">
        <is>
          <t>one-off</t>
        </is>
      </c>
      <c r="F7" s="7" t="n">
        <v>2149</v>
      </c>
      <c r="G7" s="7" t="n">
        <v>1720</v>
      </c>
    </row>
    <row r="8">
      <c r="B8" s="5" t="inlineStr">
        <is>
          <t>TEL-SMART-256</t>
        </is>
      </c>
      <c r="C8" s="6" t="inlineStr">
        <is>
          <t>Smartfon biznesowy 256 GB</t>
        </is>
      </c>
      <c r="D8" s="5" t="inlineStr">
        <is>
          <t>Hardware</t>
        </is>
      </c>
      <c r="E8" s="5" t="inlineStr">
        <is>
          <t>one-off</t>
        </is>
      </c>
      <c r="F8" s="7" t="n">
        <v>2699</v>
      </c>
      <c r="G8" s="7" t="n">
        <v>2180</v>
      </c>
    </row>
    <row r="9">
      <c r="B9" s="5" t="inlineStr">
        <is>
          <t>TEL-SMART-LT</t>
        </is>
      </c>
      <c r="C9" s="6" t="inlineStr">
        <is>
          <t>Smartfon podstawowy 64 GB</t>
        </is>
      </c>
      <c r="D9" s="5" t="inlineStr">
        <is>
          <t>Hardware</t>
        </is>
      </c>
      <c r="E9" s="5" t="inlineStr">
        <is>
          <t>one-off</t>
        </is>
      </c>
      <c r="F9" s="7" t="n">
        <v>1099</v>
      </c>
      <c r="G9" s="7" t="n">
        <v>860</v>
      </c>
    </row>
    <row r="10">
      <c r="B10" s="5" t="inlineStr">
        <is>
          <t>TEL-TAB-11</t>
        </is>
      </c>
      <c r="C10" s="6" t="inlineStr">
        <is>
          <t>Tablet 11 cali LTE</t>
        </is>
      </c>
      <c r="D10" s="5" t="inlineStr">
        <is>
          <t>Hardware</t>
        </is>
      </c>
      <c r="E10" s="5" t="inlineStr">
        <is>
          <t>one-off</t>
        </is>
      </c>
      <c r="F10" s="7" t="n">
        <v>1849</v>
      </c>
      <c r="G10" s="7" t="n">
        <v>1490</v>
      </c>
    </row>
    <row r="11">
      <c r="B11" s="5" t="inlineStr">
        <is>
          <t>TEL-LAP-14</t>
        </is>
      </c>
      <c r="C11" s="6" t="inlineStr">
        <is>
          <t>Laptop biznesowy 14 cali</t>
        </is>
      </c>
      <c r="D11" s="5" t="inlineStr">
        <is>
          <t>Hardware</t>
        </is>
      </c>
      <c r="E11" s="5" t="inlineStr">
        <is>
          <t>one-off</t>
        </is>
      </c>
      <c r="F11" s="7" t="n">
        <v>4590</v>
      </c>
      <c r="G11" s="7" t="n">
        <v>3820</v>
      </c>
    </row>
    <row r="12">
      <c r="B12" s="5" t="inlineStr">
        <is>
          <t>TEL-ROUT-5G</t>
        </is>
      </c>
      <c r="C12" s="6" t="inlineStr">
        <is>
          <t>Router 5G do biura</t>
        </is>
      </c>
      <c r="D12" s="5" t="inlineStr">
        <is>
          <t>Hardware</t>
        </is>
      </c>
      <c r="E12" s="5" t="inlineStr">
        <is>
          <t>one-off</t>
        </is>
      </c>
      <c r="F12" s="7" t="n">
        <v>899</v>
      </c>
      <c r="G12" s="7" t="n">
        <v>690</v>
      </c>
    </row>
    <row r="13">
      <c r="B13" s="5" t="inlineStr">
        <is>
          <t>SUB-VOICE-M</t>
        </is>
      </c>
      <c r="C13" s="6" t="inlineStr">
        <is>
          <t>Abonament głosowy bez limitu</t>
        </is>
      </c>
      <c r="D13" s="5" t="inlineStr">
        <is>
          <t>Subscription</t>
        </is>
      </c>
      <c r="E13" s="5" t="inlineStr">
        <is>
          <t>monthly</t>
        </is>
      </c>
      <c r="F13" s="7" t="n">
        <v>49</v>
      </c>
      <c r="G13" s="7" t="n">
        <v>28</v>
      </c>
    </row>
    <row r="14">
      <c r="B14" s="5" t="inlineStr">
        <is>
          <t>SUB-DATA-50</t>
        </is>
      </c>
      <c r="C14" s="6" t="inlineStr">
        <is>
          <t>Pakiet danych 50 GB</t>
        </is>
      </c>
      <c r="D14" s="5" t="inlineStr">
        <is>
          <t>Subscription</t>
        </is>
      </c>
      <c r="E14" s="5" t="inlineStr">
        <is>
          <t>monthly</t>
        </is>
      </c>
      <c r="F14" s="7" t="n">
        <v>39</v>
      </c>
      <c r="G14" s="7" t="n">
        <v>21</v>
      </c>
    </row>
    <row r="15">
      <c r="B15" s="5" t="inlineStr">
        <is>
          <t>SUB-DATA-UNL</t>
        </is>
      </c>
      <c r="C15" s="6" t="inlineStr">
        <is>
          <t>Pakiet danych bez limitu</t>
        </is>
      </c>
      <c r="D15" s="5" t="inlineStr">
        <is>
          <t>Subscription</t>
        </is>
      </c>
      <c r="E15" s="5" t="inlineStr">
        <is>
          <t>monthly</t>
        </is>
      </c>
      <c r="F15" s="7" t="n">
        <v>79</v>
      </c>
      <c r="G15" s="7" t="n">
        <v>44</v>
      </c>
    </row>
    <row r="16">
      <c r="B16" s="5" t="inlineStr">
        <is>
          <t>SUB-MDM</t>
        </is>
      </c>
      <c r="C16" s="6" t="inlineStr">
        <is>
          <t>Zarządzanie flotą urządzeń (MDM)</t>
        </is>
      </c>
      <c r="D16" s="5" t="inlineStr">
        <is>
          <t>Subscription</t>
        </is>
      </c>
      <c r="E16" s="5" t="inlineStr">
        <is>
          <t>monthly</t>
        </is>
      </c>
      <c r="F16" s="7" t="n">
        <v>24</v>
      </c>
      <c r="G16" s="7" t="n">
        <v>11</v>
      </c>
    </row>
    <row r="17">
      <c r="B17" s="5" t="inlineStr">
        <is>
          <t>ACC-CASE</t>
        </is>
      </c>
      <c r="C17" s="6" t="inlineStr">
        <is>
          <t>Etui wzmocnione</t>
        </is>
      </c>
      <c r="D17" s="5" t="inlineStr">
        <is>
          <t>Accessory</t>
        </is>
      </c>
      <c r="E17" s="5" t="inlineStr">
        <is>
          <t>one-off</t>
        </is>
      </c>
      <c r="F17" s="7" t="n">
        <v>129</v>
      </c>
      <c r="G17" s="7" t="n">
        <v>62</v>
      </c>
    </row>
    <row r="18">
      <c r="B18" s="5" t="inlineStr">
        <is>
          <t>ACC-CHRG</t>
        </is>
      </c>
      <c r="C18" s="6" t="inlineStr">
        <is>
          <t>Ładowarka sieciowa 65 W</t>
        </is>
      </c>
      <c r="D18" s="5" t="inlineStr">
        <is>
          <t>Accessory</t>
        </is>
      </c>
      <c r="E18" s="5" t="inlineStr">
        <is>
          <t>one-off</t>
        </is>
      </c>
      <c r="F18" s="7" t="n">
        <v>189</v>
      </c>
      <c r="G18" s="7" t="n">
        <v>98</v>
      </c>
    </row>
    <row r="19">
      <c r="B19" s="5" t="inlineStr">
        <is>
          <t>ACC-DOCK</t>
        </is>
      </c>
      <c r="C19" s="6" t="inlineStr">
        <is>
          <t>Stacja dokująca USB-C</t>
        </is>
      </c>
      <c r="D19" s="5" t="inlineStr">
        <is>
          <t>Accessory</t>
        </is>
      </c>
      <c r="E19" s="5" t="inlineStr">
        <is>
          <t>one-off</t>
        </is>
      </c>
      <c r="F19" s="7" t="n">
        <v>749</v>
      </c>
      <c r="G19" s="7" t="n">
        <v>520</v>
      </c>
    </row>
    <row r="20">
      <c r="B20" s="5" t="inlineStr">
        <is>
          <t>ACC-HEAD</t>
        </is>
      </c>
      <c r="C20" s="6" t="inlineStr">
        <is>
          <t>Słuchawki z redukcją szumów</t>
        </is>
      </c>
      <c r="D20" s="5" t="inlineStr">
        <is>
          <t>Accessory</t>
        </is>
      </c>
      <c r="E20" s="5" t="inlineStr">
        <is>
          <t>one-off</t>
        </is>
      </c>
      <c r="F20" s="7" t="n">
        <v>649</v>
      </c>
      <c r="G20" s="7" t="n">
        <v>430</v>
      </c>
    </row>
    <row r="21">
      <c r="B21" s="5" t="inlineStr">
        <is>
          <t>SRV-SETUP</t>
        </is>
      </c>
      <c r="C21" s="6" t="inlineStr">
        <is>
          <t>Wdrożenie i konfiguracja urządzeń</t>
        </is>
      </c>
      <c r="D21" s="5" t="inlineStr">
        <is>
          <t>Service</t>
        </is>
      </c>
      <c r="E21" s="5" t="inlineStr">
        <is>
          <t>one-off</t>
        </is>
      </c>
      <c r="F21" s="7" t="n">
        <v>1200</v>
      </c>
      <c r="G21" s="7" t="n">
        <v>640</v>
      </c>
    </row>
    <row r="22">
      <c r="B22" s="5" t="inlineStr">
        <is>
          <t>SRV-TRAIN</t>
        </is>
      </c>
      <c r="C22" s="6" t="inlineStr">
        <is>
          <t>Szkolenie dla zespołu (dzień)</t>
        </is>
      </c>
      <c r="D22" s="5" t="inlineStr">
        <is>
          <t>Service</t>
        </is>
      </c>
      <c r="E22" s="5" t="inlineStr">
        <is>
          <t>one-off</t>
        </is>
      </c>
      <c r="F22" s="7" t="n">
        <v>2400</v>
      </c>
      <c r="G22" s="7" t="n">
        <v>1300</v>
      </c>
    </row>
    <row r="23">
      <c r="B23" s="5" t="inlineStr">
        <is>
          <t>SRV-SUPPORT</t>
        </is>
      </c>
      <c r="C23" s="6" t="inlineStr">
        <is>
          <t>Wsparcie techniczne SLA 8h</t>
        </is>
      </c>
      <c r="D23" s="5" t="inlineStr">
        <is>
          <t>Service</t>
        </is>
      </c>
      <c r="E23" s="5" t="inlineStr">
        <is>
          <t>monthly</t>
        </is>
      </c>
      <c r="F23" s="7" t="n">
        <v>89</v>
      </c>
      <c r="G23" s="7" t="n">
        <v>42</v>
      </c>
    </row>
    <row r="24">
      <c r="B24" s="5" t="inlineStr">
        <is>
          <t>SRV-INSUR</t>
        </is>
      </c>
      <c r="C24" s="6" t="inlineStr">
        <is>
          <t>Ubezpieczenie sprzętu</t>
        </is>
      </c>
      <c r="D24" s="5" t="inlineStr">
        <is>
          <t>Service</t>
        </is>
      </c>
      <c r="E24" s="5" t="inlineStr">
        <is>
          <t>monthly</t>
        </is>
      </c>
      <c r="F24" s="7" t="n">
        <v>19</v>
      </c>
      <c r="G24" s="7" t="n">
        <v>9.5</v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5" customWidth="1" min="1" max="1"/>
    <col width="30" customWidth="1" min="2" max="2"/>
    <col width="34" customWidth="1" min="3" max="3"/>
    <col width="15" customWidth="1" min="4" max="4"/>
    <col width="13" customWidth="1" min="5" max="5"/>
    <col width="11" customWidth="1" min="6" max="6"/>
    <col width="7" customWidth="1" min="7" max="7"/>
    <col width="12" customWidth="1" min="8" max="8"/>
    <col width="9" customWidth="1" min="9" max="9"/>
    <col width="13" customWidth="1" min="10" max="10"/>
    <col width="13" customWidth="1" min="11" max="11"/>
    <col width="14" customWidth="1" min="12" max="12"/>
    <col width="10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Quotation builder</t>
        </is>
      </c>
    </row>
    <row r="4">
      <c r="B4" s="3" t="inlineStr">
        <is>
          <t>Edit the yellow cells — totals, margin and the customer page recalculate on their own</t>
        </is>
      </c>
    </row>
    <row r="6">
      <c r="B6" s="8" t="inlineStr">
        <is>
          <t>Customer</t>
        </is>
      </c>
      <c r="C6" s="9" t="inlineStr">
        <is>
          <t>Kowalski Logistyka Sp. z o.o.</t>
        </is>
      </c>
      <c r="F6" s="8" t="inlineStr">
        <is>
          <t>Quote no.</t>
        </is>
      </c>
      <c r="H6" s="10" t="inlineStr">
        <is>
          <t>OFE-2026-041</t>
        </is>
      </c>
    </row>
    <row r="7">
      <c r="B7" s="11" t="inlineStr">
        <is>
          <t>City</t>
        </is>
      </c>
      <c r="C7" s="9" t="inlineStr">
        <is>
          <t>Poznań</t>
        </is>
      </c>
      <c r="F7" s="11" t="inlineStr">
        <is>
          <t>Date</t>
        </is>
      </c>
      <c r="H7" s="12" t="n">
        <v>46229</v>
      </c>
    </row>
    <row r="8">
      <c r="B8" s="11" t="inlineStr">
        <is>
          <t>Contact person</t>
        </is>
      </c>
      <c r="C8" s="9" t="inlineStr">
        <is>
          <t>Anna Nowak</t>
        </is>
      </c>
      <c r="F8" s="11" t="inlineStr">
        <is>
          <t>Valid until</t>
        </is>
      </c>
      <c r="H8" s="12" t="n">
        <v>46259</v>
      </c>
    </row>
    <row r="9">
      <c r="B9" s="11" t="inlineStr">
        <is>
          <t>Contract term (months)</t>
        </is>
      </c>
      <c r="C9" s="13" t="n">
        <v>24</v>
      </c>
      <c r="F9" s="11" t="inlineStr">
        <is>
          <t>Seller</t>
        </is>
      </c>
      <c r="H9" s="11" t="inlineStr">
        <is>
          <t>Telko Partner Sp. z o.o.</t>
        </is>
      </c>
    </row>
    <row r="10">
      <c r="B10" s="11" t="inlineStr">
        <is>
          <t>VAT rate</t>
        </is>
      </c>
      <c r="C10" s="14" t="n">
        <v>0.23</v>
      </c>
    </row>
    <row r="13" ht="28" customHeight="1">
      <c r="C13" s="4" t="inlineStr">
        <is>
          <t>Product</t>
        </is>
      </c>
      <c r="D13" s="4" t="inlineStr">
        <is>
          <t>SKU</t>
        </is>
      </c>
      <c r="E13" s="4" t="inlineStr">
        <is>
          <t>Category</t>
        </is>
      </c>
      <c r="F13" s="4" t="inlineStr">
        <is>
          <t>Billing</t>
        </is>
      </c>
      <c r="G13" s="4" t="inlineStr">
        <is>
          <t>Qty</t>
        </is>
      </c>
      <c r="H13" s="4" t="inlineStr">
        <is>
          <t>Unit price</t>
        </is>
      </c>
      <c r="I13" s="4" t="inlineStr">
        <is>
          <t>Disc. %</t>
        </is>
      </c>
      <c r="J13" s="4" t="inlineStr">
        <is>
          <t>Net one-off</t>
        </is>
      </c>
      <c r="K13" s="4" t="inlineStr">
        <is>
          <t>Net monthly</t>
        </is>
      </c>
      <c r="L13" s="4" t="inlineStr">
        <is>
          <t>Cost (contract)</t>
        </is>
      </c>
      <c r="M13" s="4" t="inlineStr">
        <is>
          <t>Margin %</t>
        </is>
      </c>
    </row>
    <row r="14">
      <c r="C14" s="15" t="inlineStr">
        <is>
          <t>Smartfon biznesowy 256 GB</t>
        </is>
      </c>
      <c r="D14" s="5">
        <f>IFERROR(INDEX(CAT_SKU,MATCH($C14,CAT_PRODUCT,0)),"")</f>
        <v/>
      </c>
      <c r="E14" s="5">
        <f>IFERROR(INDEX(CAT_CATEGORY,MATCH($C14,CAT_PRODUCT,0)),"")</f>
        <v/>
      </c>
      <c r="F14" s="5">
        <f>IFERROR(INDEX(CAT_BILLING,MATCH($C14,CAT_PRODUCT,0)),"")</f>
        <v/>
      </c>
      <c r="G14" s="16" t="n">
        <v>12</v>
      </c>
      <c r="H14" s="7">
        <f>IFERROR(INDEX(CAT_PRICE,MATCH($C14,CAT_PRODUCT,0)),0)</f>
        <v/>
      </c>
      <c r="I14" s="17" t="n">
        <v>0.08</v>
      </c>
      <c r="J14" s="7">
        <f>IF($F14="one-off",ROUND($G14*$H14*(1-$I14),2),0)</f>
        <v/>
      </c>
      <c r="K14" s="7">
        <f>IF($F14="monthly",ROUND($G14*$H14*(1-$I14),2),0)</f>
        <v/>
      </c>
      <c r="L14" s="7">
        <f>IFERROR(IF($F14="monthly",$G14*INDEX(CAT_COST,MATCH($C14,CAT_PRODUCT,0))*TERM,$G14*INDEX(CAT_COST,MATCH($C14,CAT_PRODUCT,0))),0)</f>
        <v/>
      </c>
      <c r="M14" s="18">
        <f>IFERROR(($J14+$K14*TERM-$L14)/($J14+$K14*TERM),"")</f>
        <v/>
      </c>
    </row>
    <row r="15">
      <c r="C15" s="15" t="inlineStr">
        <is>
          <t>Etui wzmocnione</t>
        </is>
      </c>
      <c r="D15" s="5">
        <f>IFERROR(INDEX(CAT_SKU,MATCH($C15,CAT_PRODUCT,0)),"")</f>
        <v/>
      </c>
      <c r="E15" s="5">
        <f>IFERROR(INDEX(CAT_CATEGORY,MATCH($C15,CAT_PRODUCT,0)),"")</f>
        <v/>
      </c>
      <c r="F15" s="5">
        <f>IFERROR(INDEX(CAT_BILLING,MATCH($C15,CAT_PRODUCT,0)),"")</f>
        <v/>
      </c>
      <c r="G15" s="16" t="n">
        <v>12</v>
      </c>
      <c r="H15" s="7">
        <f>IFERROR(INDEX(CAT_PRICE,MATCH($C15,CAT_PRODUCT,0)),0)</f>
        <v/>
      </c>
      <c r="I15" s="17" t="n">
        <v>0</v>
      </c>
      <c r="J15" s="7">
        <f>IF($F15="one-off",ROUND($G15*$H15*(1-$I15),2),0)</f>
        <v/>
      </c>
      <c r="K15" s="7">
        <f>IF($F15="monthly",ROUND($G15*$H15*(1-$I15),2),0)</f>
        <v/>
      </c>
      <c r="L15" s="7">
        <f>IFERROR(IF($F15="monthly",$G15*INDEX(CAT_COST,MATCH($C15,CAT_PRODUCT,0))*TERM,$G15*INDEX(CAT_COST,MATCH($C15,CAT_PRODUCT,0))),0)</f>
        <v/>
      </c>
      <c r="M15" s="18">
        <f>IFERROR(($J15+$K15*TERM-$L15)/($J15+$K15*TERM),"")</f>
        <v/>
      </c>
    </row>
    <row r="16">
      <c r="C16" s="15" t="inlineStr">
        <is>
          <t>Ładowarka sieciowa 65 W</t>
        </is>
      </c>
      <c r="D16" s="5">
        <f>IFERROR(INDEX(CAT_SKU,MATCH($C16,CAT_PRODUCT,0)),"")</f>
        <v/>
      </c>
      <c r="E16" s="5">
        <f>IFERROR(INDEX(CAT_CATEGORY,MATCH($C16,CAT_PRODUCT,0)),"")</f>
        <v/>
      </c>
      <c r="F16" s="5">
        <f>IFERROR(INDEX(CAT_BILLING,MATCH($C16,CAT_PRODUCT,0)),"")</f>
        <v/>
      </c>
      <c r="G16" s="16" t="n">
        <v>12</v>
      </c>
      <c r="H16" s="7">
        <f>IFERROR(INDEX(CAT_PRICE,MATCH($C16,CAT_PRODUCT,0)),0)</f>
        <v/>
      </c>
      <c r="I16" s="17" t="n">
        <v>0.1</v>
      </c>
      <c r="J16" s="7">
        <f>IF($F16="one-off",ROUND($G16*$H16*(1-$I16),2),0)</f>
        <v/>
      </c>
      <c r="K16" s="7">
        <f>IF($F16="monthly",ROUND($G16*$H16*(1-$I16),2),0)</f>
        <v/>
      </c>
      <c r="L16" s="7">
        <f>IFERROR(IF($F16="monthly",$G16*INDEX(CAT_COST,MATCH($C16,CAT_PRODUCT,0))*TERM,$G16*INDEX(CAT_COST,MATCH($C16,CAT_PRODUCT,0))),0)</f>
        <v/>
      </c>
      <c r="M16" s="18">
        <f>IFERROR(($J16+$K16*TERM-$L16)/($J16+$K16*TERM),"")</f>
        <v/>
      </c>
    </row>
    <row r="17">
      <c r="C17" s="15" t="inlineStr">
        <is>
          <t>Abonament głosowy bez limitu</t>
        </is>
      </c>
      <c r="D17" s="5">
        <f>IFERROR(INDEX(CAT_SKU,MATCH($C17,CAT_PRODUCT,0)),"")</f>
        <v/>
      </c>
      <c r="E17" s="5">
        <f>IFERROR(INDEX(CAT_CATEGORY,MATCH($C17,CAT_PRODUCT,0)),"")</f>
        <v/>
      </c>
      <c r="F17" s="5">
        <f>IFERROR(INDEX(CAT_BILLING,MATCH($C17,CAT_PRODUCT,0)),"")</f>
        <v/>
      </c>
      <c r="G17" s="16" t="n">
        <v>12</v>
      </c>
      <c r="H17" s="7">
        <f>IFERROR(INDEX(CAT_PRICE,MATCH($C17,CAT_PRODUCT,0)),0)</f>
        <v/>
      </c>
      <c r="I17" s="17" t="n">
        <v>0.05</v>
      </c>
      <c r="J17" s="7">
        <f>IF($F17="one-off",ROUND($G17*$H17*(1-$I17),2),0)</f>
        <v/>
      </c>
      <c r="K17" s="7">
        <f>IF($F17="monthly",ROUND($G17*$H17*(1-$I17),2),0)</f>
        <v/>
      </c>
      <c r="L17" s="7">
        <f>IFERROR(IF($F17="monthly",$G17*INDEX(CAT_COST,MATCH($C17,CAT_PRODUCT,0))*TERM,$G17*INDEX(CAT_COST,MATCH($C17,CAT_PRODUCT,0))),0)</f>
        <v/>
      </c>
      <c r="M17" s="18">
        <f>IFERROR(($J17+$K17*TERM-$L17)/($J17+$K17*TERM),"")</f>
        <v/>
      </c>
    </row>
    <row r="18">
      <c r="C18" s="15" t="inlineStr">
        <is>
          <t>Pakiet danych 50 GB</t>
        </is>
      </c>
      <c r="D18" s="5">
        <f>IFERROR(INDEX(CAT_SKU,MATCH($C18,CAT_PRODUCT,0)),"")</f>
        <v/>
      </c>
      <c r="E18" s="5">
        <f>IFERROR(INDEX(CAT_CATEGORY,MATCH($C18,CAT_PRODUCT,0)),"")</f>
        <v/>
      </c>
      <c r="F18" s="5">
        <f>IFERROR(INDEX(CAT_BILLING,MATCH($C18,CAT_PRODUCT,0)),"")</f>
        <v/>
      </c>
      <c r="G18" s="16" t="n">
        <v>12</v>
      </c>
      <c r="H18" s="7">
        <f>IFERROR(INDEX(CAT_PRICE,MATCH($C18,CAT_PRODUCT,0)),0)</f>
        <v/>
      </c>
      <c r="I18" s="17" t="n">
        <v>0.05</v>
      </c>
      <c r="J18" s="7">
        <f>IF($F18="one-off",ROUND($G18*$H18*(1-$I18),2),0)</f>
        <v/>
      </c>
      <c r="K18" s="7">
        <f>IF($F18="monthly",ROUND($G18*$H18*(1-$I18),2),0)</f>
        <v/>
      </c>
      <c r="L18" s="7">
        <f>IFERROR(IF($F18="monthly",$G18*INDEX(CAT_COST,MATCH($C18,CAT_PRODUCT,0))*TERM,$G18*INDEX(CAT_COST,MATCH($C18,CAT_PRODUCT,0))),0)</f>
        <v/>
      </c>
      <c r="M18" s="18">
        <f>IFERROR(($J18+$K18*TERM-$L18)/($J18+$K18*TERM),"")</f>
        <v/>
      </c>
    </row>
    <row r="19">
      <c r="C19" s="15" t="inlineStr">
        <is>
          <t>Zarządzanie flotą urządzeń (MDM)</t>
        </is>
      </c>
      <c r="D19" s="5">
        <f>IFERROR(INDEX(CAT_SKU,MATCH($C19,CAT_PRODUCT,0)),"")</f>
        <v/>
      </c>
      <c r="E19" s="5">
        <f>IFERROR(INDEX(CAT_CATEGORY,MATCH($C19,CAT_PRODUCT,0)),"")</f>
        <v/>
      </c>
      <c r="F19" s="5">
        <f>IFERROR(INDEX(CAT_BILLING,MATCH($C19,CAT_PRODUCT,0)),"")</f>
        <v/>
      </c>
      <c r="G19" s="16" t="n">
        <v>12</v>
      </c>
      <c r="H19" s="7">
        <f>IFERROR(INDEX(CAT_PRICE,MATCH($C19,CAT_PRODUCT,0)),0)</f>
        <v/>
      </c>
      <c r="I19" s="17" t="n">
        <v>0</v>
      </c>
      <c r="J19" s="7">
        <f>IF($F19="one-off",ROUND($G19*$H19*(1-$I19),2),0)</f>
        <v/>
      </c>
      <c r="K19" s="7">
        <f>IF($F19="monthly",ROUND($G19*$H19*(1-$I19),2),0)</f>
        <v/>
      </c>
      <c r="L19" s="7">
        <f>IFERROR(IF($F19="monthly",$G19*INDEX(CAT_COST,MATCH($C19,CAT_PRODUCT,0))*TERM,$G19*INDEX(CAT_COST,MATCH($C19,CAT_PRODUCT,0))),0)</f>
        <v/>
      </c>
      <c r="M19" s="18">
        <f>IFERROR(($J19+$K19*TERM-$L19)/($J19+$K19*TERM),"")</f>
        <v/>
      </c>
    </row>
    <row r="20">
      <c r="C20" s="15" t="inlineStr">
        <is>
          <t>Laptop biznesowy 14 cali</t>
        </is>
      </c>
      <c r="D20" s="5">
        <f>IFERROR(INDEX(CAT_SKU,MATCH($C20,CAT_PRODUCT,0)),"")</f>
        <v/>
      </c>
      <c r="E20" s="5">
        <f>IFERROR(INDEX(CAT_CATEGORY,MATCH($C20,CAT_PRODUCT,0)),"")</f>
        <v/>
      </c>
      <c r="F20" s="5">
        <f>IFERROR(INDEX(CAT_BILLING,MATCH($C20,CAT_PRODUCT,0)),"")</f>
        <v/>
      </c>
      <c r="G20" s="16" t="n">
        <v>3</v>
      </c>
      <c r="H20" s="7">
        <f>IFERROR(INDEX(CAT_PRICE,MATCH($C20,CAT_PRODUCT,0)),0)</f>
        <v/>
      </c>
      <c r="I20" s="17" t="n">
        <v>0.06</v>
      </c>
      <c r="J20" s="7">
        <f>IF($F20="one-off",ROUND($G20*$H20*(1-$I20),2),0)</f>
        <v/>
      </c>
      <c r="K20" s="7">
        <f>IF($F20="monthly",ROUND($G20*$H20*(1-$I20),2),0)</f>
        <v/>
      </c>
      <c r="L20" s="7">
        <f>IFERROR(IF($F20="monthly",$G20*INDEX(CAT_COST,MATCH($C20,CAT_PRODUCT,0))*TERM,$G20*INDEX(CAT_COST,MATCH($C20,CAT_PRODUCT,0))),0)</f>
        <v/>
      </c>
      <c r="M20" s="18">
        <f>IFERROR(($J20+$K20*TERM-$L20)/($J20+$K20*TERM),"")</f>
        <v/>
      </c>
    </row>
    <row r="21">
      <c r="C21" s="15" t="inlineStr">
        <is>
          <t>Stacja dokująca USB-C</t>
        </is>
      </c>
      <c r="D21" s="5">
        <f>IFERROR(INDEX(CAT_SKU,MATCH($C21,CAT_PRODUCT,0)),"")</f>
        <v/>
      </c>
      <c r="E21" s="5">
        <f>IFERROR(INDEX(CAT_CATEGORY,MATCH($C21,CAT_PRODUCT,0)),"")</f>
        <v/>
      </c>
      <c r="F21" s="5">
        <f>IFERROR(INDEX(CAT_BILLING,MATCH($C21,CAT_PRODUCT,0)),"")</f>
        <v/>
      </c>
      <c r="G21" s="16" t="n">
        <v>3</v>
      </c>
      <c r="H21" s="7">
        <f>IFERROR(INDEX(CAT_PRICE,MATCH($C21,CAT_PRODUCT,0)),0)</f>
        <v/>
      </c>
      <c r="I21" s="17" t="n">
        <v>0</v>
      </c>
      <c r="J21" s="7">
        <f>IF($F21="one-off",ROUND($G21*$H21*(1-$I21),2),0)</f>
        <v/>
      </c>
      <c r="K21" s="7">
        <f>IF($F21="monthly",ROUND($G21*$H21*(1-$I21),2),0)</f>
        <v/>
      </c>
      <c r="L21" s="7">
        <f>IFERROR(IF($F21="monthly",$G21*INDEX(CAT_COST,MATCH($C21,CAT_PRODUCT,0))*TERM,$G21*INDEX(CAT_COST,MATCH($C21,CAT_PRODUCT,0))),0)</f>
        <v/>
      </c>
      <c r="M21" s="18">
        <f>IFERROR(($J21+$K21*TERM-$L21)/($J21+$K21*TERM),"")</f>
        <v/>
      </c>
    </row>
    <row r="22">
      <c r="C22" s="15" t="inlineStr">
        <is>
          <t>Wdrożenie i konfiguracja urządzeń</t>
        </is>
      </c>
      <c r="D22" s="5">
        <f>IFERROR(INDEX(CAT_SKU,MATCH($C22,CAT_PRODUCT,0)),"")</f>
        <v/>
      </c>
      <c r="E22" s="5">
        <f>IFERROR(INDEX(CAT_CATEGORY,MATCH($C22,CAT_PRODUCT,0)),"")</f>
        <v/>
      </c>
      <c r="F22" s="5">
        <f>IFERROR(INDEX(CAT_BILLING,MATCH($C22,CAT_PRODUCT,0)),"")</f>
        <v/>
      </c>
      <c r="G22" s="16" t="n">
        <v>1</v>
      </c>
      <c r="H22" s="7">
        <f>IFERROR(INDEX(CAT_PRICE,MATCH($C22,CAT_PRODUCT,0)),0)</f>
        <v/>
      </c>
      <c r="I22" s="17" t="n">
        <v>0</v>
      </c>
      <c r="J22" s="7">
        <f>IF($F22="one-off",ROUND($G22*$H22*(1-$I22),2),0)</f>
        <v/>
      </c>
      <c r="K22" s="7">
        <f>IF($F22="monthly",ROUND($G22*$H22*(1-$I22),2),0)</f>
        <v/>
      </c>
      <c r="L22" s="7">
        <f>IFERROR(IF($F22="monthly",$G22*INDEX(CAT_COST,MATCH($C22,CAT_PRODUCT,0))*TERM,$G22*INDEX(CAT_COST,MATCH($C22,CAT_PRODUCT,0))),0)</f>
        <v/>
      </c>
      <c r="M22" s="18">
        <f>IFERROR(($J22+$K22*TERM-$L22)/($J22+$K22*TERM),"")</f>
        <v/>
      </c>
    </row>
    <row r="23">
      <c r="C23" s="15" t="inlineStr">
        <is>
          <t>Wsparcie techniczne SLA 8h</t>
        </is>
      </c>
      <c r="D23" s="5">
        <f>IFERROR(INDEX(CAT_SKU,MATCH($C23,CAT_PRODUCT,0)),"")</f>
        <v/>
      </c>
      <c r="E23" s="5">
        <f>IFERROR(INDEX(CAT_CATEGORY,MATCH($C23,CAT_PRODUCT,0)),"")</f>
        <v/>
      </c>
      <c r="F23" s="5">
        <f>IFERROR(INDEX(CAT_BILLING,MATCH($C23,CAT_PRODUCT,0)),"")</f>
        <v/>
      </c>
      <c r="G23" s="16" t="n">
        <v>12</v>
      </c>
      <c r="H23" s="7">
        <f>IFERROR(INDEX(CAT_PRICE,MATCH($C23,CAT_PRODUCT,0)),0)</f>
        <v/>
      </c>
      <c r="I23" s="17" t="n">
        <v>0</v>
      </c>
      <c r="J23" s="7">
        <f>IF($F23="one-off",ROUND($G23*$H23*(1-$I23),2),0)</f>
        <v/>
      </c>
      <c r="K23" s="7">
        <f>IF($F23="monthly",ROUND($G23*$H23*(1-$I23),2),0)</f>
        <v/>
      </c>
      <c r="L23" s="7">
        <f>IFERROR(IF($F23="monthly",$G23*INDEX(CAT_COST,MATCH($C23,CAT_PRODUCT,0))*TERM,$G23*INDEX(CAT_COST,MATCH($C23,CAT_PRODUCT,0))),0)</f>
        <v/>
      </c>
      <c r="M23" s="18">
        <f>IFERROR(($J23+$K23*TERM-$L23)/($J23+$K23*TERM),"")</f>
        <v/>
      </c>
    </row>
    <row r="24">
      <c r="B24" s="19" t="inlineStr">
        <is>
          <t>Total</t>
        </is>
      </c>
      <c r="C24" s="20" t="n"/>
      <c r="D24" s="20" t="n"/>
      <c r="E24" s="20" t="n"/>
      <c r="F24" s="20" t="n"/>
      <c r="G24" s="20" t="n"/>
      <c r="H24" s="20" t="n"/>
      <c r="I24" s="20" t="n"/>
      <c r="J24" s="21">
        <f>SUM(J14:J23)</f>
        <v/>
      </c>
      <c r="K24" s="21">
        <f>SUM(K14:K23)</f>
        <v/>
      </c>
      <c r="L24" s="21">
        <f>SUM(L14:L23)</f>
        <v/>
      </c>
      <c r="M24" s="20" t="n"/>
    </row>
    <row r="25">
      <c r="B25" s="8" t="inlineStr">
        <is>
          <t>Quote summary</t>
        </is>
      </c>
    </row>
    <row r="26">
      <c r="B26" s="11" t="inlineStr">
        <is>
          <t>Upfront, net (one-off items)</t>
        </is>
      </c>
      <c r="D26" s="22">
        <f>TOTAL_ONEOFF</f>
        <v/>
      </c>
    </row>
    <row r="27">
      <c r="B27" s="11" t="inlineStr">
        <is>
          <t>Recurring, net (per month)</t>
        </is>
      </c>
      <c r="D27" s="22">
        <f>TOTAL_MONTHLY</f>
        <v/>
      </c>
    </row>
    <row r="28">
      <c r="B28" s="11" t="inlineStr">
        <is>
          <t>Contract value, net</t>
        </is>
      </c>
      <c r="D28" s="22">
        <f>TOTAL_ONEOFF+TOTAL_MONTHLY*TERM</f>
        <v/>
      </c>
    </row>
    <row r="29">
      <c r="B29" s="11" t="inlineStr">
        <is>
          <t>VAT</t>
        </is>
      </c>
      <c r="D29" s="22">
        <f>ROUND(CONTRACT_NET*VAT_RATE,2)</f>
        <v/>
      </c>
    </row>
    <row r="30">
      <c r="B30" s="23" t="inlineStr">
        <is>
          <t>Contract value, gross</t>
        </is>
      </c>
      <c r="C30" s="24" t="n"/>
      <c r="D30" s="25">
        <f>CONTRACT_NET+CONTRACT_VAT</f>
        <v/>
      </c>
    </row>
    <row r="31">
      <c r="B31" s="11" t="inlineStr">
        <is>
          <t>Cost of delivery</t>
        </is>
      </c>
      <c r="D31" s="22">
        <f>TOTAL_COST</f>
        <v/>
      </c>
    </row>
    <row r="32">
      <c r="B32" s="11" t="inlineStr">
        <is>
          <t>Gross margin</t>
        </is>
      </c>
      <c r="D32" s="22">
        <f>CONTRACT_NET-TOTAL_COST</f>
        <v/>
      </c>
    </row>
    <row r="33">
      <c r="B33" s="26" t="inlineStr">
        <is>
          <t>Gross margin %</t>
        </is>
      </c>
      <c r="C33" s="27" t="n"/>
      <c r="D33" s="28">
        <f>IFERROR(MARGIN_VALUE/CONTRACT_NET,0)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14:C23" showDropDown="0" showInputMessage="0" showErrorMessage="0" allowBlank="1" errorTitle="Unknown product" error="Pick a product from the catalogue." type="list">
      <formula1>'Catalogue'!$C$7:$C$24</formula1>
    </dataValidation>
  </dataValidation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4" customWidth="1" min="3" max="3"/>
    <col width="19" customWidth="1" min="4" max="4"/>
    <col width="18" customWidth="1" min="5" max="5"/>
    <col width="13" customWidth="1" min="6" max="6"/>
    <col width="19" customWidth="1" min="7" max="7"/>
    <col width="18" customWidth="1" min="8" max="8"/>
    <col width="17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3">
      <c r="B3" s="2" t="inlineStr">
        <is>
          <t>Contract term comparison</t>
        </is>
      </c>
    </row>
    <row r="4">
      <c r="B4" s="3" t="inlineStr">
        <is>
          <t>The same basket priced over four terms — the selected one is marked</t>
        </is>
      </c>
    </row>
    <row r="6" ht="28" customHeight="1">
      <c r="B6" s="4" t="inlineStr">
        <is>
          <t>Term (months)</t>
        </is>
      </c>
      <c r="C6" s="4" t="inlineStr">
        <is>
          <t>Upfront, net</t>
        </is>
      </c>
      <c r="D6" s="4" t="inlineStr">
        <is>
          <t>Recurring total, net</t>
        </is>
      </c>
      <c r="E6" s="4" t="inlineStr">
        <is>
          <t>Contract value, net</t>
        </is>
      </c>
      <c r="F6" s="4" t="inlineStr">
        <is>
          <t>VAT</t>
        </is>
      </c>
      <c r="G6" s="4" t="inlineStr">
        <is>
          <t>Contract value, gross</t>
        </is>
      </c>
      <c r="H6" s="4" t="inlineStr">
        <is>
          <t>Monthly if financed</t>
        </is>
      </c>
      <c r="I6" s="4" t="inlineStr"/>
    </row>
    <row r="7">
      <c r="B7" s="29" t="n">
        <v>12</v>
      </c>
      <c r="C7" s="30">
        <f>TOTAL_ONEOFF</f>
        <v/>
      </c>
      <c r="D7" s="30">
        <f>TOTAL_MONTHLY*$B7</f>
        <v/>
      </c>
      <c r="E7" s="30">
        <f>TOTAL_ONEOFF+TOTAL_MONTHLY*$B7</f>
        <v/>
      </c>
      <c r="F7" s="30">
        <f>ROUND($E7*VAT_RATE,2)</f>
        <v/>
      </c>
      <c r="G7" s="30">
        <f>$E7+$F7</f>
        <v/>
      </c>
      <c r="H7" s="30">
        <f>$E7/$B7</f>
        <v/>
      </c>
      <c r="I7" s="31">
        <f>IF($B7=TERM,"&lt; selected term","")</f>
        <v/>
      </c>
    </row>
    <row r="8">
      <c r="B8" s="29" t="n">
        <v>24</v>
      </c>
      <c r="C8" s="30">
        <f>TOTAL_ONEOFF</f>
        <v/>
      </c>
      <c r="D8" s="30">
        <f>TOTAL_MONTHLY*$B8</f>
        <v/>
      </c>
      <c r="E8" s="30">
        <f>TOTAL_ONEOFF+TOTAL_MONTHLY*$B8</f>
        <v/>
      </c>
      <c r="F8" s="30">
        <f>ROUND($E8*VAT_RATE,2)</f>
        <v/>
      </c>
      <c r="G8" s="30">
        <f>$E8+$F8</f>
        <v/>
      </c>
      <c r="H8" s="30">
        <f>$E8/$B8</f>
        <v/>
      </c>
      <c r="I8" s="31">
        <f>IF($B8=TERM,"&lt; selected term","")</f>
        <v/>
      </c>
    </row>
    <row r="9">
      <c r="B9" s="29" t="n">
        <v>36</v>
      </c>
      <c r="C9" s="30">
        <f>TOTAL_ONEOFF</f>
        <v/>
      </c>
      <c r="D9" s="30">
        <f>TOTAL_MONTHLY*$B9</f>
        <v/>
      </c>
      <c r="E9" s="30">
        <f>TOTAL_ONEOFF+TOTAL_MONTHLY*$B9</f>
        <v/>
      </c>
      <c r="F9" s="30">
        <f>ROUND($E9*VAT_RATE,2)</f>
        <v/>
      </c>
      <c r="G9" s="30">
        <f>$E9+$F9</f>
        <v/>
      </c>
      <c r="H9" s="30">
        <f>$E9/$B9</f>
        <v/>
      </c>
      <c r="I9" s="31">
        <f>IF($B9=TERM,"&lt; selected term","")</f>
        <v/>
      </c>
    </row>
    <row r="10">
      <c r="B10" s="29" t="n">
        <v>48</v>
      </c>
      <c r="C10" s="30">
        <f>TOTAL_ONEOFF</f>
        <v/>
      </c>
      <c r="D10" s="30">
        <f>TOTAL_MONTHLY*$B10</f>
        <v/>
      </c>
      <c r="E10" s="30">
        <f>TOTAL_ONEOFF+TOTAL_MONTHLY*$B10</f>
        <v/>
      </c>
      <c r="F10" s="30">
        <f>ROUND($E10*VAT_RATE,2)</f>
        <v/>
      </c>
      <c r="G10" s="30">
        <f>$E10+$F10</f>
        <v/>
      </c>
      <c r="H10" s="30">
        <f>$E10/$B10</f>
        <v/>
      </c>
      <c r="I10" s="31">
        <f>IF($B10=TERM,"&lt; selected term","")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  <col width="16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3">
      <c r="B3" s="2" t="inlineStr">
        <is>
          <t>Quote summary</t>
        </is>
      </c>
    </row>
    <row r="4">
      <c r="B4" s="3" t="inlineStr">
        <is>
          <t>Everything below is live — it follows the Quote sheet</t>
        </is>
      </c>
    </row>
    <row r="6">
      <c r="B6" s="32" t="inlineStr">
        <is>
          <t>Contract value, net</t>
        </is>
      </c>
      <c r="C6" s="20" t="n"/>
      <c r="D6" s="32" t="inlineStr">
        <is>
          <t>VAT</t>
        </is>
      </c>
      <c r="E6" s="20" t="n"/>
      <c r="F6" s="32" t="inlineStr">
        <is>
          <t>Contract value, gross</t>
        </is>
      </c>
      <c r="G6" s="20" t="n"/>
    </row>
    <row r="7">
      <c r="B7" s="33">
        <f>CONTRACT_NET</f>
        <v/>
      </c>
      <c r="C7" s="20" t="n"/>
      <c r="D7" s="33">
        <f>CONTRACT_VAT</f>
        <v/>
      </c>
      <c r="E7" s="20" t="n"/>
      <c r="F7" s="33">
        <f>CONTRACT_GROSS</f>
        <v/>
      </c>
      <c r="G7" s="20" t="n"/>
    </row>
    <row r="9">
      <c r="B9" s="32" t="inlineStr">
        <is>
          <t>Upfront, net</t>
        </is>
      </c>
      <c r="C9" s="20" t="n"/>
      <c r="D9" s="32" t="inlineStr">
        <is>
          <t>Recurring, net / month</t>
        </is>
      </c>
      <c r="E9" s="20" t="n"/>
      <c r="F9" s="32" t="inlineStr">
        <is>
          <t>Contract term (months)</t>
        </is>
      </c>
      <c r="G9" s="20" t="n"/>
    </row>
    <row r="10">
      <c r="B10" s="33">
        <f>UPFRONT_NET</f>
        <v/>
      </c>
      <c r="C10" s="20" t="n"/>
      <c r="D10" s="33">
        <f>MONTHLY_NET</f>
        <v/>
      </c>
      <c r="E10" s="20" t="n"/>
      <c r="F10" s="34">
        <f>TERM</f>
        <v/>
      </c>
      <c r="G10" s="20" t="n"/>
    </row>
    <row r="12">
      <c r="B12" s="32" t="inlineStr">
        <is>
          <t>Cost of delivery</t>
        </is>
      </c>
      <c r="C12" s="20" t="n"/>
      <c r="D12" s="32" t="inlineStr">
        <is>
          <t>Gross margin</t>
        </is>
      </c>
      <c r="E12" s="20" t="n"/>
      <c r="F12" s="32" t="inlineStr">
        <is>
          <t>Gross margin %</t>
        </is>
      </c>
      <c r="G12" s="20" t="n"/>
    </row>
    <row r="13">
      <c r="B13" s="33">
        <f>TOTAL_COST</f>
        <v/>
      </c>
      <c r="C13" s="20" t="n"/>
      <c r="D13" s="33">
        <f>MARGIN_VALUE</f>
        <v/>
      </c>
      <c r="E13" s="20" t="n"/>
      <c r="F13" s="35">
        <f>MARGIN_PCT</f>
        <v/>
      </c>
      <c r="G13" s="20" t="n"/>
    </row>
    <row r="16">
      <c r="B16" s="36" t="inlineStr">
        <is>
          <t>Metric</t>
        </is>
      </c>
      <c r="C16" s="36" t="inlineStr">
        <is>
          <t>Value</t>
        </is>
      </c>
    </row>
    <row r="17">
      <c r="B17" s="37" t="inlineStr">
        <is>
          <t>Revenue (net)</t>
        </is>
      </c>
      <c r="C17" s="38">
        <f>CONTRACT_NET</f>
        <v/>
      </c>
    </row>
    <row r="18">
      <c r="B18" s="37" t="inlineStr">
        <is>
          <t>Cost</t>
        </is>
      </c>
      <c r="C18" s="38">
        <f>TOTAL_COST</f>
        <v/>
      </c>
    </row>
    <row r="19">
      <c r="B19" s="37" t="inlineStr">
        <is>
          <t>Gross margin</t>
        </is>
      </c>
      <c r="C19" s="38">
        <f>MARGIN_VALUE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42" customWidth="1" min="3" max="3"/>
    <col width="11" customWidth="1" min="4" max="4"/>
    <col width="8" customWidth="1" min="5" max="5"/>
    <col width="13" customWidth="1" min="6" max="6"/>
    <col width="15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3">
      <c r="B3" s="2" t="inlineStr">
        <is>
          <t>Quotation</t>
        </is>
      </c>
    </row>
    <row r="4">
      <c r="B4" s="3" t="inlineStr">
        <is>
          <t>Print-ready page for the customer — no cost or margin data</t>
        </is>
      </c>
    </row>
    <row r="6">
      <c r="B6" s="39" t="inlineStr">
        <is>
          <t>Telko Partner Sp. z o.o.</t>
        </is>
      </c>
      <c r="F6" s="8" t="inlineStr">
        <is>
          <t>Quote no.</t>
        </is>
      </c>
      <c r="G6" s="8">
        <f>'Quote'!$H$6</f>
        <v/>
      </c>
    </row>
    <row r="7">
      <c r="B7" s="11" t="inlineStr">
        <is>
          <t>ul. Przemysłowa 14, 61-441 Poznań</t>
        </is>
      </c>
      <c r="F7" s="11" t="inlineStr">
        <is>
          <t>Date</t>
        </is>
      </c>
      <c r="G7" s="40">
        <f>'Quote'!$H$7</f>
        <v/>
      </c>
    </row>
    <row r="8">
      <c r="B8" s="11" t="inlineStr">
        <is>
          <t>NIP 7792345678</t>
        </is>
      </c>
      <c r="F8" s="11" t="inlineStr">
        <is>
          <t>Valid until</t>
        </is>
      </c>
      <c r="G8" s="40">
        <f>'Quote'!$H$8</f>
        <v/>
      </c>
    </row>
    <row r="10">
      <c r="B10" s="8" t="inlineStr">
        <is>
          <t>Prepared for</t>
        </is>
      </c>
    </row>
    <row r="11">
      <c r="B11" s="10">
        <f>'Quote'!$C$6</f>
        <v/>
      </c>
    </row>
    <row r="12">
      <c r="B12" s="37">
        <f>'Quote'!$C$7</f>
        <v/>
      </c>
    </row>
    <row r="13">
      <c r="B13" s="37">
        <f>"Attn: "&amp;'Quote'!$C$8</f>
        <v/>
      </c>
    </row>
    <row r="15" ht="28" customHeight="1">
      <c r="B15" s="4" t="inlineStr">
        <is>
          <t>#</t>
        </is>
      </c>
      <c r="C15" s="4" t="inlineStr">
        <is>
          <t>Product</t>
        </is>
      </c>
      <c r="D15" s="4" t="inlineStr">
        <is>
          <t>Billing</t>
        </is>
      </c>
      <c r="E15" s="4" t="inlineStr">
        <is>
          <t>Qty</t>
        </is>
      </c>
      <c r="F15" s="4" t="inlineStr">
        <is>
          <t>Unit price</t>
        </is>
      </c>
      <c r="G15" s="4" t="inlineStr">
        <is>
          <t>Net</t>
        </is>
      </c>
    </row>
    <row r="16">
      <c r="B16" s="41" t="n">
        <v>1</v>
      </c>
      <c r="C16" s="6">
        <f>'Quote'!$C$14</f>
        <v/>
      </c>
      <c r="D16" s="5">
        <f>'Quote'!$F$14</f>
        <v/>
      </c>
      <c r="E16" s="5">
        <f>'Quote'!$G$14</f>
        <v/>
      </c>
      <c r="F16" s="7">
        <f>'Quote'!$H$14*(1-'Quote'!$I$14)</f>
        <v/>
      </c>
      <c r="G16" s="7">
        <f>'Quote'!$J$14+'Quote'!$K$14</f>
        <v/>
      </c>
    </row>
    <row r="17">
      <c r="B17" s="41" t="n">
        <v>2</v>
      </c>
      <c r="C17" s="6">
        <f>'Quote'!$C$15</f>
        <v/>
      </c>
      <c r="D17" s="5">
        <f>'Quote'!$F$15</f>
        <v/>
      </c>
      <c r="E17" s="5">
        <f>'Quote'!$G$15</f>
        <v/>
      </c>
      <c r="F17" s="7">
        <f>'Quote'!$H$15*(1-'Quote'!$I$15)</f>
        <v/>
      </c>
      <c r="G17" s="7">
        <f>'Quote'!$J$15+'Quote'!$K$15</f>
        <v/>
      </c>
    </row>
    <row r="18">
      <c r="B18" s="41" t="n">
        <v>3</v>
      </c>
      <c r="C18" s="6">
        <f>'Quote'!$C$16</f>
        <v/>
      </c>
      <c r="D18" s="5">
        <f>'Quote'!$F$16</f>
        <v/>
      </c>
      <c r="E18" s="5">
        <f>'Quote'!$G$16</f>
        <v/>
      </c>
      <c r="F18" s="7">
        <f>'Quote'!$H$16*(1-'Quote'!$I$16)</f>
        <v/>
      </c>
      <c r="G18" s="7">
        <f>'Quote'!$J$16+'Quote'!$K$16</f>
        <v/>
      </c>
    </row>
    <row r="19">
      <c r="B19" s="41" t="n">
        <v>4</v>
      </c>
      <c r="C19" s="6">
        <f>'Quote'!$C$17</f>
        <v/>
      </c>
      <c r="D19" s="5">
        <f>'Quote'!$F$17</f>
        <v/>
      </c>
      <c r="E19" s="5">
        <f>'Quote'!$G$17</f>
        <v/>
      </c>
      <c r="F19" s="7">
        <f>'Quote'!$H$17*(1-'Quote'!$I$17)</f>
        <v/>
      </c>
      <c r="G19" s="7">
        <f>'Quote'!$J$17+'Quote'!$K$17</f>
        <v/>
      </c>
    </row>
    <row r="20">
      <c r="B20" s="41" t="n">
        <v>5</v>
      </c>
      <c r="C20" s="6">
        <f>'Quote'!$C$18</f>
        <v/>
      </c>
      <c r="D20" s="5">
        <f>'Quote'!$F$18</f>
        <v/>
      </c>
      <c r="E20" s="5">
        <f>'Quote'!$G$18</f>
        <v/>
      </c>
      <c r="F20" s="7">
        <f>'Quote'!$H$18*(1-'Quote'!$I$18)</f>
        <v/>
      </c>
      <c r="G20" s="7">
        <f>'Quote'!$J$18+'Quote'!$K$18</f>
        <v/>
      </c>
    </row>
    <row r="21">
      <c r="B21" s="41" t="n">
        <v>6</v>
      </c>
      <c r="C21" s="6">
        <f>'Quote'!$C$19</f>
        <v/>
      </c>
      <c r="D21" s="5">
        <f>'Quote'!$F$19</f>
        <v/>
      </c>
      <c r="E21" s="5">
        <f>'Quote'!$G$19</f>
        <v/>
      </c>
      <c r="F21" s="7">
        <f>'Quote'!$H$19*(1-'Quote'!$I$19)</f>
        <v/>
      </c>
      <c r="G21" s="7">
        <f>'Quote'!$J$19+'Quote'!$K$19</f>
        <v/>
      </c>
    </row>
    <row r="22">
      <c r="B22" s="41" t="n">
        <v>7</v>
      </c>
      <c r="C22" s="6">
        <f>'Quote'!$C$20</f>
        <v/>
      </c>
      <c r="D22" s="5">
        <f>'Quote'!$F$20</f>
        <v/>
      </c>
      <c r="E22" s="5">
        <f>'Quote'!$G$20</f>
        <v/>
      </c>
      <c r="F22" s="7">
        <f>'Quote'!$H$20*(1-'Quote'!$I$20)</f>
        <v/>
      </c>
      <c r="G22" s="7">
        <f>'Quote'!$J$20+'Quote'!$K$20</f>
        <v/>
      </c>
    </row>
    <row r="23">
      <c r="B23" s="41" t="n">
        <v>8</v>
      </c>
      <c r="C23" s="6">
        <f>'Quote'!$C$21</f>
        <v/>
      </c>
      <c r="D23" s="5">
        <f>'Quote'!$F$21</f>
        <v/>
      </c>
      <c r="E23" s="5">
        <f>'Quote'!$G$21</f>
        <v/>
      </c>
      <c r="F23" s="7">
        <f>'Quote'!$H$21*(1-'Quote'!$I$21)</f>
        <v/>
      </c>
      <c r="G23" s="7">
        <f>'Quote'!$J$21+'Quote'!$K$21</f>
        <v/>
      </c>
    </row>
    <row r="24">
      <c r="B24" s="41" t="n">
        <v>9</v>
      </c>
      <c r="C24" s="6">
        <f>'Quote'!$C$22</f>
        <v/>
      </c>
      <c r="D24" s="5">
        <f>'Quote'!$F$22</f>
        <v/>
      </c>
      <c r="E24" s="5">
        <f>'Quote'!$G$22</f>
        <v/>
      </c>
      <c r="F24" s="7">
        <f>'Quote'!$H$22*(1-'Quote'!$I$22)</f>
        <v/>
      </c>
      <c r="G24" s="7">
        <f>'Quote'!$J$22+'Quote'!$K$22</f>
        <v/>
      </c>
    </row>
    <row r="25">
      <c r="B25" s="41" t="n">
        <v>10</v>
      </c>
      <c r="C25" s="6">
        <f>'Quote'!$C$23</f>
        <v/>
      </c>
      <c r="D25" s="5">
        <f>'Quote'!$F$23</f>
        <v/>
      </c>
      <c r="E25" s="5">
        <f>'Quote'!$G$23</f>
        <v/>
      </c>
      <c r="F25" s="7">
        <f>'Quote'!$H$23*(1-'Quote'!$I$23)</f>
        <v/>
      </c>
      <c r="G25" s="7">
        <f>'Quote'!$J$23+'Quote'!$K$23</f>
        <v/>
      </c>
    </row>
    <row r="27">
      <c r="E27" s="11" t="inlineStr">
        <is>
          <t>Upfront, net</t>
        </is>
      </c>
      <c r="G27" s="22">
        <f>UPFRONT_NET</f>
        <v/>
      </c>
    </row>
    <row r="28">
      <c r="E28" s="11" t="inlineStr">
        <is>
          <t>Recurring, net / month</t>
        </is>
      </c>
      <c r="G28" s="22">
        <f>MONTHLY_NET</f>
        <v/>
      </c>
    </row>
    <row r="29">
      <c r="E29" s="11" t="inlineStr">
        <is>
          <t>Contract term (months)</t>
        </is>
      </c>
      <c r="G29" s="42">
        <f>TERM</f>
        <v/>
      </c>
    </row>
    <row r="30">
      <c r="E30" s="11" t="inlineStr">
        <is>
          <t>Contract value, net</t>
        </is>
      </c>
      <c r="G30" s="22">
        <f>CONTRACT_NET</f>
        <v/>
      </c>
    </row>
    <row r="31">
      <c r="E31" s="11" t="inlineStr">
        <is>
          <t>VAT 23%</t>
        </is>
      </c>
      <c r="G31" s="22">
        <f>CONTRACT_VAT</f>
        <v/>
      </c>
    </row>
    <row r="32">
      <c r="E32" s="43" t="inlineStr">
        <is>
          <t>Contract value, gross</t>
        </is>
      </c>
      <c r="F32" s="24" t="n"/>
      <c r="G32" s="25">
        <f>CONTRACT_GROSS</f>
        <v/>
      </c>
    </row>
    <row r="35">
      <c r="B35" s="37" t="inlineStr">
        <is>
          <t>Payment terms: 14 days from delivery, bank transfer.</t>
        </is>
      </c>
    </row>
    <row r="36">
      <c r="B36" s="37" t="inlineStr">
        <is>
          <t>Recurring items are billed monthly for the length of the contract.</t>
        </is>
      </c>
    </row>
    <row r="37">
      <c r="B37" s="3" t="inlineStr">
        <is>
          <t>This quotation is valid until the date shown above.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2026-07-26T21:02:01Z</dcterms:created>
  <dcterms:modified xmlns:dcterms="http://purl.org/dc/terms/" xmlns:xsi="http://www.w3.org/2001/XMLSchema-instance" xsi:type="dcterms:W3CDTF">2026-07-26T21:02:02Z</dcterms:modified>
</cp:coreProperties>
</file>